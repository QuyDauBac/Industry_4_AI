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hân công" sheetId="1" state="visible" r:id="rId3"/>
    <sheet name="Giai đoạn 2 - Báo cáo" sheetId="2" state="visible" r:id="rId4"/>
    <sheet name="Kiến trúc 7 tầng" sheetId="3" state="visible" r:id="rId5"/>
  </sheets>
  <definedNames>
    <definedName function="false" hidden="true" localSheetId="0" name="_xlnm._FilterDatabase" vbProcedure="false">'Phân công'!$A$4:$H$20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<sst xmlns="http://schemas.openxmlformats.org/spreadsheetml/2006/main" count="181" uniqueCount="135">
  <si>
    <t xml:space="preserve">PHÂN CÔNG CODE THEO FILE (mỗi dòng là một file trong repo)</t>
  </si>
  <si>
    <t xml:space="preserve">Nhóm 3 người, Người 1 là trưởng nhóm và điều phối (không tính giờ). Đợt sau cần kết quả của đợt trước; các việc cùng một đợt làm song song được. LOC và giờ là ước lượng thô để so sánh khối lượng tương đối (giờ gồm cả thử nghiệm và chờ chạy), chỉ tính phần code. Việc báo cáo và slide nằm ở sheet "Giai đoạn 2 - Báo cáo". Quy ước kỹ thuật xem README.md. Đổi "Người 1/2/3" thành tên thật bằng Find &amp; Replace trên cả file.</t>
  </si>
  <si>
    <t xml:space="preserve">Đợt</t>
  </si>
  <si>
    <t xml:space="preserve">File</t>
  </si>
  <si>
    <t xml:space="preserve">Việc cần làm</t>
  </si>
  <si>
    <t xml:space="preserve">Người</t>
  </si>
  <si>
    <t xml:space="preserve">LOC (ước lượng)</t>
  </si>
  <si>
    <t xml:space="preserve">Giờ (ước lượng)</t>
  </si>
  <si>
    <t xml:space="preserve">Cần có trước</t>
  </si>
  <si>
    <t xml:space="preserve">Xong khi</t>
  </si>
  <si>
    <t xml:space="preserve">README.md, requirements.txt, config.py</t>
  </si>
  <si>
    <t xml:space="preserve">Skeleton đã dựng sẵn. Việc còn lại: mỗi người cài môi trường và kiểm tra chạy được; cập nhật README / requirements khi có thay đổi (Python 3.10 trở lên, cả nhóm dùng cùng một phiên bản).</t>
  </si>
  <si>
    <t xml:space="preserve">Người 3</t>
  </si>
  <si>
    <t xml:space="preserve">—</t>
  </si>
  <si>
    <t xml:space="preserve">Cả 3 người chạy `pip install -r requirements.txt` và `python -c "import config"` không lỗi</t>
  </si>
  <si>
    <t xml:space="preserve">src/data_loader.py</t>
  </si>
  <si>
    <t xml:space="preserve">Đọc secom.data và secom_labels.data, đổi nhãn -1/1 về 0/1, ghép timestamp, sắp xếp theo thời gian; validate_structure() kiểm tra số trường mỗi dòng.</t>
  </si>
  <si>
    <t xml:space="preserve">Người 1</t>
  </si>
  <si>
    <t xml:space="preserve">load_data() trả về X (1.567 × 590), y chỉ gồm 0/1, timestamps tăng dần</t>
  </si>
  <si>
    <t xml:space="preserve">src/split.py</t>
  </si>
  <si>
    <t xml:space="preserve">time_split (80/20 theo thời gian), stratified_split (chỉ để đối chiếu), describe_split in số mẫu / số lỗi / tỉ lệ lỗi. Không cân bằng lại test.</t>
  </si>
  <si>
    <t xml:space="preserve">data_loader.py</t>
  </si>
  <si>
    <t xml:space="preserve">Train 1.253 mẫu (87 lỗi), test 314 mẫu (17 lỗi). Giao bản thô sớm cho Người 2 và 3</t>
  </si>
  <si>
    <t xml:space="preserve">README.md, config.py (họp quy ước)</t>
  </si>
  <si>
    <t xml:space="preserve">Họp chốt các điểm còn để ngỏ: ý nghĩa --time-block, bật hay tắt ADD_MISSING_INDICATOR, K_FEATURES, cách chọn ngưỡng mặc định. Test chỉ có 17 mẫu lỗi nên báo cáo kèm khoảng tin cậy bootstrap.</t>
  </si>
  <si>
    <t xml:space="preserve">data_loader.py, split.py</t>
  </si>
  <si>
    <t xml:space="preserve">Cả nhóm đồng ý; README và config.py khớp với quyết định</t>
  </si>
  <si>
    <t xml:space="preserve">src/preprocess.py</t>
  </si>
  <si>
    <t xml:space="preserve">Pipeline tiền xử lý theo config.PREP_STEPS: bỏ cột thiếu nhiều, impute (kèm cột đánh dấu thiếu), bỏ cột hằng, outlier (nếu dùng), scale, chọn đặc trưng. Giải thích lý do từng bước.</t>
  </si>
  <si>
    <t xml:space="preserve">build_preprocessor() fit trên train rồi transform test không lỗi; MissingRateSelector.get_support() hoạt động. Giao bản thô sớm cho Người 2</t>
  </si>
  <si>
    <t xml:space="preserve">notebooks/01_eda_3B.ipynb</t>
  </si>
  <si>
    <t xml:space="preserve">EDA và phân tích 3B (Broken, Bad Quality, Background): target, phân bố lớp, tỉ lệ lỗi theo thời gian, missing, trùng lặp, biến ít thông tin.</t>
  </si>
  <si>
    <t xml:space="preserve">data_loader.py (không chặn việc khác, làm song song)</t>
  </si>
  <si>
    <t xml:space="preserve">Notebook chạy từ đầu đến cuối, có kết luận cho từng chữ B</t>
  </si>
  <si>
    <t xml:space="preserve">src/train.py</t>
  </si>
  <si>
    <t xml:space="preserve">Runner chung: build_pipeline(), 5-fold stratified lấy xác suất out-of-fold, gọi threshold.py chọn ngưỡng, lưu 4 file; hỗ trợ --ablation và --time-block.</t>
  </si>
  <si>
    <t xml:space="preserve">Người 2</t>
  </si>
  <si>
    <t xml:space="preserve">split.py, preprocess.py (bản thô)</t>
  </si>
  <si>
    <t xml:space="preserve">`python -m src.train --model lr` tạo đủ oof, test, threshold, joblib. Giao bản thô sớm vì Người 1 và 3 phụ thuộc</t>
  </si>
  <si>
    <t xml:space="preserve">src/threshold.py</t>
  </si>
  <si>
    <t xml:space="preserve">choose_threshold: chọn theo F1, recall tối thiểu hoặc ngân sách kiểm tra, chỉ dựa trên xác suất out-of-fold của train. save_threshold / load_threshold đã viết sẵn.</t>
  </si>
  <si>
    <t xml:space="preserve">— (độc lập, làm sớm)</t>
  </si>
  <si>
    <t xml:space="preserve">Cho ngưỡng hợp lý trên dữ liệu thử và không đụng đến test</t>
  </si>
  <si>
    <t xml:space="preserve">src/models/logistic.py</t>
  </si>
  <si>
    <t xml:space="preserve">Logistic Regression (class_weight) + tuning C; run_ablation(): có/không class_weight, ngưỡng 0.5 so với đã chọn, có/không feature selection.</t>
  </si>
  <si>
    <t xml:space="preserve">train.py (bản thô)</t>
  </si>
  <si>
    <t xml:space="preserve">`train --model lr` và `--ablation` chạy được; có ablation_lr.json đúng định dạng trong README</t>
  </si>
  <si>
    <t xml:space="preserve">src/models/random_forest.py, src/models/xgboost_model.py</t>
  </si>
  <si>
    <t xml:space="preserve">Random Forest (class_weight) và XGBoost (scale_pos_weight) + tuning (khoảng 3 giờ chờ chạy); run_ablation() cho cả hai.</t>
  </si>
  <si>
    <t xml:space="preserve">train.py</t>
  </si>
  <si>
    <t xml:space="preserve">`train --model rf|xgb` và `--ablation` chạy được; có ablation_rf.json, ablation_xgb.json</t>
  </si>
  <si>
    <t xml:space="preserve">src/evaluate.py</t>
  </si>
  <si>
    <t xml:space="preserve">Model level (P/R/F1, ROC-AUC, PR-AUC, detection rate, bootstrap CI); System level (false alarm, latency, robustness, computational cost); Industrial level (lỗi chặn được, lỗi lọt qua, cảnh báo trên 1.000 lô, so với 3 mốc, capture@k; không quy ra tiền). Báo cáo số lượng cụ thể (vd 12/17) cạnh tỉ lệ %.</t>
  </si>
  <si>
    <t xml:space="preserve">train.py (viết sớm, thử trên LR)</t>
  </si>
  <si>
    <t xml:space="preserve">`python -m src.evaluate` ra bảng 3 mức cho cả 3 model từ các file trong results/</t>
  </si>
  <si>
    <t xml:space="preserve">notebooks/02_results_comparison.ipynb</t>
  </si>
  <si>
    <t xml:space="preserve">So sánh 3 model và bảng ablation tổng hợp, đọc ablation_&lt;model&gt;.json.</t>
  </si>
  <si>
    <t xml:space="preserve">evaluate.py, ablation_*.json</t>
  </si>
  <si>
    <t xml:space="preserve">Chạy từ đầu đến cuối; chọn được model tốt nhất để demo</t>
  </si>
  <si>
    <t xml:space="preserve">src/failure_analysis.py</t>
  </si>
  <si>
    <t xml:space="preserve">missed_failures, false_alarms: phân tích khi nào model sai và chuyện gì xảy ra khi điều kiện vận hành (giai đoạn thời gian) thay đổi.</t>
  </si>
  <si>
    <t xml:space="preserve">test_proba, threshold của các model</t>
  </si>
  <si>
    <t xml:space="preserve">Có danh sách mẫu Fail bị bỏ sót và báo động giả kèm nhận xét</t>
  </si>
  <si>
    <t xml:space="preserve">src/explain.py</t>
  </si>
  <si>
    <t xml:space="preserve">Hệ số LR, importance RF, SHAP cho XGBoost (pred_contribs=True); map chỉ số cột về 590 cột gốc.</t>
  </si>
  <si>
    <t xml:space="preserve">joblib của 3 model (LR của Người 1)</t>
  </si>
  <si>
    <t xml:space="preserve">Mỗi model ra được top sensor đóng góp vào cảnh báo, theo chỉ số cột gốc</t>
  </si>
  <si>
    <t xml:space="preserve">app/dashboard.py</t>
  </si>
  <si>
    <t xml:space="preserve">Streamlit: phát lại mẫu test, risk score, cảnh báo, khuyến nghị hành động, nút kỹ sư xác nhận. Hoàn thiện recommend_action() và main().</t>
  </si>
  <si>
    <t xml:space="preserve">train.py, threshold_&lt;model&gt;.json, model tốt nhất từ notebook 02</t>
  </si>
  <si>
    <t xml:space="preserve">`streamlit run app/dashboard.py` chạy được trên máy sạch</t>
  </si>
  <si>
    <t xml:space="preserve">Toàn repo</t>
  </si>
  <si>
    <t xml:space="preserve">Chạy thử từ đầu đến cuối trên máy sạch theo README, dọn code.</t>
  </si>
  <si>
    <t xml:space="preserve">Tất cả file ở trên</t>
  </si>
  <si>
    <t xml:space="preserve">Làm theo README từ đầu ra được kết quả và demo không lỗi</t>
  </si>
  <si>
    <t xml:space="preserve">TỔNG HỢP KHỐI LƯỢNG THEO NGƯỜI</t>
  </si>
  <si>
    <t xml:space="preserve">LOC</t>
  </si>
  <si>
    <t xml:space="preserve">Giờ</t>
  </si>
  <si>
    <t xml:space="preserve">Tổng</t>
  </si>
  <si>
    <t xml:space="preserve">Nguồn số liệu: số mẫu và số lỗi đếm từ data/secom/secom_labels.data (1.567 mẫu, 104 lỗi; cắt 80/20 theo dòng). LOC và giờ lấy từ bảng phân công cũ của nhóm (ước lượng thô), gộp lại theo file; ngưỡng LR giờ do train.py chọn nên đã gộp vào dòng logistic.py.</t>
  </si>
  <si>
    <t xml:space="preserve">VIỆC BÁO CÁO VÀ SLIDE (làm sau khi code xong)</t>
  </si>
  <si>
    <t xml:space="preserve">Giữ lại từ bảng phân công cũ để không mất việc. Giờ viết nội dung các chương (khoảng 20 giờ cả nhóm) chưa chia; chia khi bắt đầu giai đoạn này. Ch.4 có phần của Người 1 và Người 2; Ch.7 có phần của cả 3 người (Người 3 ghép).</t>
  </si>
  <si>
    <t xml:space="preserve">Chương</t>
  </si>
  <si>
    <t xml:space="preserve">Công việc</t>
  </si>
  <si>
    <t xml:space="preserve">Ghi chú</t>
  </si>
  <si>
    <t xml:space="preserve">Ch.1, Ch.2</t>
  </si>
  <si>
    <t xml:space="preserve">Viết mô tả bài toán theo Problem Definition Template; Input/Output/Context; quyết định cần hỗ trợ; ràng buộc</t>
  </si>
  <si>
    <t xml:space="preserve">Làm sớm vì Người 3 không làm model</t>
  </si>
  <si>
    <t xml:space="preserve">Ch.3</t>
  </si>
  <si>
    <t xml:space="preserve">Lập luận chọn và so sánh phương pháp (LR, RF, XGBoost)</t>
  </si>
  <si>
    <t xml:space="preserve">Ch.3, Ch.6</t>
  </si>
  <si>
    <t xml:space="preserve">Vẽ sơ đồ kiến trúc 7 tầng (xem sheet "Kiến trúc 7 tầng")</t>
  </si>
  <si>
    <t xml:space="preserve">Yêu cầu bắt buộc của đề; vẽ bằng draw.io hoặc tương đương</t>
  </si>
  <si>
    <t xml:space="preserve">Ch.7</t>
  </si>
  <si>
    <t xml:space="preserve">Safety (hậu quả khi dự đoán sai) và human-in-the-loop</t>
  </si>
  <si>
    <t xml:space="preserve">Người 1 dựng luồng xác nhận trong dashboard nên viết phần này</t>
  </si>
  <si>
    <t xml:space="preserve">Kế hoạch theo dõi drift, huấn luyện lại; Limitations (SECOM không có dữ liệu downtime, năng lượng, chi phí); thông tin cần bổ sung khi triển khai thật</t>
  </si>
  <si>
    <t xml:space="preserve">Slide</t>
  </si>
  <si>
    <t xml:space="preserve">Slide phần của Người 1</t>
  </si>
  <si>
    <t xml:space="preserve">Mỗi người làm slide phần của mình</t>
  </si>
  <si>
    <t xml:space="preserve">Slide phần của Người 2</t>
  </si>
  <si>
    <t xml:space="preserve">Slide phần của Người 3</t>
  </si>
  <si>
    <t xml:space="preserve">Ghép slide, tập dợt thuyết trình</t>
  </si>
  <si>
    <t xml:space="preserve">Ch.8</t>
  </si>
  <si>
    <t xml:space="preserve">Conclusion (kết quả, giá trị công nghiệp, future work)</t>
  </si>
  <si>
    <t xml:space="preserve">Viết cuối, khi đã có kết quả</t>
  </si>
  <si>
    <t xml:space="preserve">Toàn bộ</t>
  </si>
  <si>
    <t xml:space="preserve">Ghép báo cáo: bìa, mục lục, danh mục hình/bảng, tài liệu tham khảo IEEE, Phụ lục A mã nguồn, Phụ lục B phân công (% đóng góp)</t>
  </si>
  <si>
    <t xml:space="preserve">Theo mẫu nhưng dùng 8 chương của đề (bỏ chương Cơ sở lý thuyết và phụ lục "tự cài đặt / thư viện"). Sửa bìa mẫu: tên học phần (đang là HỌC MÁY), học kỳ và năm học, header "Tin học quản lý – Bộ môn Hệ thống Thông tin"</t>
  </si>
  <si>
    <t xml:space="preserve">TỔNG GIỜ THEO NGƯỜI</t>
  </si>
  <si>
    <t xml:space="preserve">SƠ ĐỒ KIẾN TRÚC 7 TẦNG - tham khảo khi vẽ sơ đồ</t>
  </si>
  <si>
    <t xml:space="preserve">Theo thứ tự trong đề: Data Source → Data Processing → AI Model → Prediction / Detection → Decision Support → Human / System → Industrial Action. Bảng này chỉ để đối chiếu thành phần của đồ án với từng tầng, không dùng để chia việc.</t>
  </si>
  <si>
    <t xml:space="preserve">Tầng</t>
  </si>
  <si>
    <t xml:space="preserve">Tên tầng</t>
  </si>
  <si>
    <t xml:space="preserve">Thành phần của đồ án</t>
  </si>
  <si>
    <t xml:space="preserve">Data Source</t>
  </si>
  <si>
    <t xml:space="preserve">Dữ liệu cảm biến SECOM (1.567 mẫu, 590 đặc trưng, nhãn Pass/Fail, có timestamp)</t>
  </si>
  <si>
    <t xml:space="preserve">data/secom/, src/data_loader.py</t>
  </si>
  <si>
    <t xml:space="preserve">Data Processing</t>
  </si>
  <si>
    <t xml:space="preserve">Chia train/test theo thời gian; tiền xử lý (thiếu, hằng, scale, chọn đặc trưng)</t>
  </si>
  <si>
    <t xml:space="preserve">src/split.py, src/preprocess.py</t>
  </si>
  <si>
    <t xml:space="preserve">AI Model</t>
  </si>
  <si>
    <t xml:space="preserve">Logistic Regression, Random Forest, XGBoost; giải thích model</t>
  </si>
  <si>
    <t xml:space="preserve">src/models/, src/train.py, src/explain.py</t>
  </si>
  <si>
    <t xml:space="preserve">Prediction / Detection</t>
  </si>
  <si>
    <t xml:space="preserve">Xác suất Fail đổi thành kết luận Pass/Fail bằng ngưỡng; đo chất lượng và phân tích khi sai</t>
  </si>
  <si>
    <t xml:space="preserve">src/threshold.py, src/evaluate.py, src/failure_analysis.py</t>
  </si>
  <si>
    <t xml:space="preserve">Decision Support</t>
  </si>
  <si>
    <t xml:space="preserve">Risk score, cảnh báo, khuyến nghị hành động trên dashboard</t>
  </si>
  <si>
    <t xml:space="preserve">Human / System</t>
  </si>
  <si>
    <t xml:space="preserve">Kỹ sư xem cảnh báo và xác nhận (human-in-the-loop)</t>
  </si>
  <si>
    <t xml:space="preserve">app/dashboard.py (nút xác nhận)</t>
  </si>
  <si>
    <t xml:space="preserve">Industrial Action</t>
  </si>
  <si>
    <t xml:space="preserve">Giữ lô / kiểm tra thêm; giá trị mang lại tính bằng ngôn ngữ vận hành</t>
  </si>
  <si>
    <t xml:space="preserve">src/evaluate.py (Industrial level)</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</si>
</sst>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FFFFFF"/>
      <name val="Arial"/>
      <family val="0"/>
      <charset val="1"/>
    </font>
    <font>
      <b val="true"/>
      <sz val="10"/>
      <name val="Arial"/>
      <family val="0"/>
      <charset val="1"/>
    </font>
    <font>
      <b val="true"/>
      <sz val="11"/>
      <color rgb="FF1F3864"/>
      <name val="Arial"/>
      <family val="0"/>
      <charset val="1"/>
    </font>
    <font>
      <i val="true"/>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EDEDED"/>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EDEDED"/>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62"/>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32"/>
    <col collapsed="false" customWidth="true" hidden="false" outlineLevel="0" max="8" min="8" style="0" width="44"/>
  </cols>
  <sheetData>
    <row r="1" customFormat="false" ht="17.35" hidden="false" customHeight="false" outlineLevel="0" collapsed="false">
      <c r="A1" s="1" t="s">
        <v>0</v>
      </c>
    </row>
    <row r="2" customFormat="false" ht="57.75" hidden="false" customHeight="true" outlineLevel="0" collapsed="false">
      <c r="A2" s="2" t="s">
        <v>1</v>
      </c>
      <c r="B2" s="2"/>
      <c r="C2" s="2"/>
      <c r="D2" s="2"/>
      <c r="E2" s="2"/>
      <c r="F2" s="2"/>
      <c r="G2" s="2"/>
      <c r="H2" s="2"/>
    </row>
    <row r="4" customFormat="false" ht="31.5" hidden="false" customHeight="true" outlineLevel="0" collapsed="false">
      <c r="A4" s="3" t="s">
        <v>2</v>
      </c>
      <c r="B4" s="3" t="s">
        <v>3</v>
      </c>
      <c r="C4" s="3" t="s">
        <v>4</v>
      </c>
      <c r="D4" s="3" t="s">
        <v>5</v>
      </c>
      <c r="E4" s="3" t="s">
        <v>6</v>
      </c>
      <c r="F4" s="3" t="s">
        <v>7</v>
      </c>
      <c r="G4" s="3" t="s">
        <v>8</v>
      </c>
      <c r="H4" s="3" t="s">
        <v>9</v>
      </c>
    </row>
    <row r="5" customFormat="false" ht="35.05" hidden="false" customHeight="false" outlineLevel="0" collapsed="false">
      <c r="A5" s="4" t="n">
        <v>0</v>
      </c>
      <c r="B5" s="5" t="s">
        <v>10</v>
      </c>
      <c r="C5" s="6" t="s">
        <v>11</v>
      </c>
      <c r="D5" s="7" t="s">
        <v>12</v>
      </c>
      <c r="E5" s="7" t="n">
        <v>20</v>
      </c>
      <c r="F5" s="7" t="n">
        <v>2</v>
      </c>
      <c r="G5" s="6" t="s">
        <v>13</v>
      </c>
      <c r="H5" s="6" t="s">
        <v>14</v>
      </c>
    </row>
    <row r="6" customFormat="false" ht="35.05" hidden="false" customHeight="false" outlineLevel="0" collapsed="false">
      <c r="A6" s="4" t="n">
        <v>1</v>
      </c>
      <c r="B6" s="5" t="s">
        <v>15</v>
      </c>
      <c r="C6" s="6" t="s">
        <v>16</v>
      </c>
      <c r="D6" s="7" t="s">
        <v>17</v>
      </c>
      <c r="E6" s="7" t="n">
        <v>40</v>
      </c>
      <c r="F6" s="7" t="n">
        <v>1.5</v>
      </c>
      <c r="G6" s="6" t="s">
        <v>13</v>
      </c>
      <c r="H6" s="6" t="s">
        <v>18</v>
      </c>
    </row>
    <row r="7" customFormat="false" ht="23.85" hidden="false" customHeight="false" outlineLevel="0" collapsed="false">
      <c r="A7" s="4" t="n">
        <v>1</v>
      </c>
      <c r="B7" s="5" t="s">
        <v>19</v>
      </c>
      <c r="C7" s="6" t="s">
        <v>20</v>
      </c>
      <c r="D7" s="7" t="s">
        <v>17</v>
      </c>
      <c r="E7" s="7" t="n">
        <v>40</v>
      </c>
      <c r="F7" s="7" t="n">
        <v>1.5</v>
      </c>
      <c r="G7" s="6" t="s">
        <v>21</v>
      </c>
      <c r="H7" s="6" t="s">
        <v>22</v>
      </c>
    </row>
    <row r="8" customFormat="false" ht="35.05" hidden="false" customHeight="false" outlineLevel="0" collapsed="false">
      <c r="A8" s="4" t="n">
        <v>1</v>
      </c>
      <c r="B8" s="5" t="s">
        <v>23</v>
      </c>
      <c r="C8" s="6" t="s">
        <v>24</v>
      </c>
      <c r="D8" s="7" t="s">
        <v>17</v>
      </c>
      <c r="E8" s="7" t="n">
        <v>0</v>
      </c>
      <c r="F8" s="7" t="n">
        <v>1</v>
      </c>
      <c r="G8" s="6" t="s">
        <v>25</v>
      </c>
      <c r="H8" s="6" t="s">
        <v>26</v>
      </c>
    </row>
    <row r="9" customFormat="false" ht="35.05" hidden="false" customHeight="false" outlineLevel="0" collapsed="false">
      <c r="A9" s="4" t="n">
        <v>1</v>
      </c>
      <c r="B9" s="5" t="s">
        <v>27</v>
      </c>
      <c r="C9" s="6" t="s">
        <v>28</v>
      </c>
      <c r="D9" s="7" t="s">
        <v>17</v>
      </c>
      <c r="E9" s="7" t="n">
        <v>80</v>
      </c>
      <c r="F9" s="7" t="n">
        <v>5</v>
      </c>
      <c r="G9" s="6" t="s">
        <v>25</v>
      </c>
      <c r="H9" s="6" t="s">
        <v>29</v>
      </c>
    </row>
    <row r="10" customFormat="false" ht="23.85" hidden="false" customHeight="false" outlineLevel="0" collapsed="false">
      <c r="A10" s="4" t="n">
        <v>1</v>
      </c>
      <c r="B10" s="5" t="s">
        <v>30</v>
      </c>
      <c r="C10" s="6" t="s">
        <v>31</v>
      </c>
      <c r="D10" s="7" t="s">
        <v>17</v>
      </c>
      <c r="E10" s="7" t="n">
        <v>150</v>
      </c>
      <c r="F10" s="7" t="n">
        <v>7</v>
      </c>
      <c r="G10" s="6" t="s">
        <v>32</v>
      </c>
      <c r="H10" s="6" t="s">
        <v>33</v>
      </c>
    </row>
    <row r="11" customFormat="false" ht="35.05" hidden="false" customHeight="false" outlineLevel="0" collapsed="false">
      <c r="A11" s="4" t="n">
        <v>2</v>
      </c>
      <c r="B11" s="5" t="s">
        <v>34</v>
      </c>
      <c r="C11" s="6" t="s">
        <v>35</v>
      </c>
      <c r="D11" s="7" t="s">
        <v>36</v>
      </c>
      <c r="E11" s="7" t="n">
        <v>115</v>
      </c>
      <c r="F11" s="7" t="n">
        <v>4.5</v>
      </c>
      <c r="G11" s="6" t="s">
        <v>37</v>
      </c>
      <c r="H11" s="6" t="s">
        <v>38</v>
      </c>
    </row>
    <row r="12" customFormat="false" ht="35.05" hidden="false" customHeight="false" outlineLevel="0" collapsed="false">
      <c r="A12" s="4" t="n">
        <v>2</v>
      </c>
      <c r="B12" s="5" t="s">
        <v>39</v>
      </c>
      <c r="C12" s="6" t="s">
        <v>40</v>
      </c>
      <c r="D12" s="7" t="s">
        <v>36</v>
      </c>
      <c r="E12" s="7" t="n">
        <v>60</v>
      </c>
      <c r="F12" s="7" t="n">
        <v>3</v>
      </c>
      <c r="G12" s="6" t="s">
        <v>41</v>
      </c>
      <c r="H12" s="6" t="s">
        <v>42</v>
      </c>
    </row>
    <row r="13" customFormat="false" ht="23.85" hidden="false" customHeight="false" outlineLevel="0" collapsed="false">
      <c r="A13" s="4" t="n">
        <v>2</v>
      </c>
      <c r="B13" s="5" t="s">
        <v>43</v>
      </c>
      <c r="C13" s="6" t="s">
        <v>44</v>
      </c>
      <c r="D13" s="7" t="s">
        <v>17</v>
      </c>
      <c r="E13" s="7" t="n">
        <v>110</v>
      </c>
      <c r="F13" s="7" t="n">
        <v>4.5</v>
      </c>
      <c r="G13" s="6" t="s">
        <v>45</v>
      </c>
      <c r="H13" s="6" t="s">
        <v>46</v>
      </c>
    </row>
    <row r="14" customFormat="false" ht="23.85" hidden="false" customHeight="false" outlineLevel="0" collapsed="false">
      <c r="A14" s="4" t="n">
        <v>2</v>
      </c>
      <c r="B14" s="5" t="s">
        <v>47</v>
      </c>
      <c r="C14" s="6" t="s">
        <v>48</v>
      </c>
      <c r="D14" s="7" t="s">
        <v>36</v>
      </c>
      <c r="E14" s="7" t="n">
        <v>240</v>
      </c>
      <c r="F14" s="7" t="n">
        <v>14</v>
      </c>
      <c r="G14" s="6" t="s">
        <v>49</v>
      </c>
      <c r="H14" s="6" t="s">
        <v>50</v>
      </c>
    </row>
    <row r="15" customFormat="false" ht="57.45" hidden="false" customHeight="false" outlineLevel="0" collapsed="false">
      <c r="A15" s="4" t="n">
        <v>3</v>
      </c>
      <c r="B15" s="5" t="s">
        <v>51</v>
      </c>
      <c r="C15" s="6" t="s">
        <v>52</v>
      </c>
      <c r="D15" s="7" t="s">
        <v>12</v>
      </c>
      <c r="E15" s="7" t="n">
        <v>290</v>
      </c>
      <c r="F15" s="7" t="n">
        <v>12.5</v>
      </c>
      <c r="G15" s="6" t="s">
        <v>53</v>
      </c>
      <c r="H15" s="6" t="s">
        <v>54</v>
      </c>
    </row>
    <row r="16" customFormat="false" ht="23.85" hidden="false" customHeight="false" outlineLevel="0" collapsed="false">
      <c r="A16" s="4" t="n">
        <v>3</v>
      </c>
      <c r="B16" s="5" t="s">
        <v>55</v>
      </c>
      <c r="C16" s="6" t="s">
        <v>56</v>
      </c>
      <c r="D16" s="7" t="s">
        <v>12</v>
      </c>
      <c r="E16" s="7" t="n">
        <v>120</v>
      </c>
      <c r="F16" s="7" t="n">
        <v>4.5</v>
      </c>
      <c r="G16" s="6" t="s">
        <v>57</v>
      </c>
      <c r="H16" s="6" t="s">
        <v>58</v>
      </c>
    </row>
    <row r="17" customFormat="false" ht="23.85" hidden="false" customHeight="false" outlineLevel="0" collapsed="false">
      <c r="A17" s="4" t="n">
        <v>3</v>
      </c>
      <c r="B17" s="5" t="s">
        <v>59</v>
      </c>
      <c r="C17" s="6" t="s">
        <v>60</v>
      </c>
      <c r="D17" s="7" t="s">
        <v>12</v>
      </c>
      <c r="E17" s="7" t="n">
        <v>40</v>
      </c>
      <c r="F17" s="7" t="n">
        <v>3</v>
      </c>
      <c r="G17" s="6" t="s">
        <v>61</v>
      </c>
      <c r="H17" s="6" t="s">
        <v>62</v>
      </c>
    </row>
    <row r="18" customFormat="false" ht="23.85" hidden="false" customHeight="false" outlineLevel="0" collapsed="false">
      <c r="A18" s="4" t="n">
        <v>3</v>
      </c>
      <c r="B18" s="5" t="s">
        <v>63</v>
      </c>
      <c r="C18" s="6" t="s">
        <v>64</v>
      </c>
      <c r="D18" s="7" t="s">
        <v>36</v>
      </c>
      <c r="E18" s="7" t="n">
        <v>100</v>
      </c>
      <c r="F18" s="7" t="n">
        <v>5</v>
      </c>
      <c r="G18" s="6" t="s">
        <v>65</v>
      </c>
      <c r="H18" s="6" t="s">
        <v>66</v>
      </c>
    </row>
    <row r="19" customFormat="false" ht="23.85" hidden="false" customHeight="false" outlineLevel="0" collapsed="false">
      <c r="A19" s="4" t="n">
        <v>4</v>
      </c>
      <c r="B19" s="5" t="s">
        <v>67</v>
      </c>
      <c r="C19" s="6" t="s">
        <v>68</v>
      </c>
      <c r="D19" s="7" t="s">
        <v>17</v>
      </c>
      <c r="E19" s="7" t="n">
        <v>150</v>
      </c>
      <c r="F19" s="7" t="n">
        <v>9</v>
      </c>
      <c r="G19" s="6" t="s">
        <v>69</v>
      </c>
      <c r="H19" s="6" t="s">
        <v>70</v>
      </c>
    </row>
    <row r="20" customFormat="false" ht="23.85" hidden="false" customHeight="false" outlineLevel="0" collapsed="false">
      <c r="A20" s="4" t="n">
        <v>4</v>
      </c>
      <c r="B20" s="5" t="s">
        <v>71</v>
      </c>
      <c r="C20" s="6" t="s">
        <v>72</v>
      </c>
      <c r="D20" s="7" t="s">
        <v>12</v>
      </c>
      <c r="E20" s="7" t="n">
        <v>0</v>
      </c>
      <c r="F20" s="7" t="n">
        <v>2</v>
      </c>
      <c r="G20" s="6" t="s">
        <v>73</v>
      </c>
      <c r="H20" s="6" t="s">
        <v>74</v>
      </c>
    </row>
    <row r="22" customFormat="false" ht="15" hidden="false" customHeight="false" outlineLevel="0" collapsed="false">
      <c r="B22" s="8" t="s">
        <v>75</v>
      </c>
    </row>
    <row r="23" customFormat="false" ht="15" hidden="false" customHeight="false" outlineLevel="0" collapsed="false">
      <c r="B23" s="9" t="s">
        <v>5</v>
      </c>
      <c r="E23" s="9" t="s">
        <v>76</v>
      </c>
      <c r="F23" s="9" t="s">
        <v>77</v>
      </c>
    </row>
    <row r="24" customFormat="false" ht="15" hidden="false" customHeight="false" outlineLevel="0" collapsed="false">
      <c r="B24" s="10" t="s">
        <v>17</v>
      </c>
      <c r="E24" s="11" t="n">
        <f aca="false">SUMIF($D$5:$D$20,$B24,E$5:E$20)</f>
        <v>570</v>
      </c>
      <c r="F24" s="11" t="n">
        <f aca="false">SUMIF($D$5:$D$20,$B24,F$5:F$20)</f>
        <v>29.5</v>
      </c>
    </row>
    <row r="25" customFormat="false" ht="15" hidden="false" customHeight="false" outlineLevel="0" collapsed="false">
      <c r="B25" s="10" t="s">
        <v>36</v>
      </c>
      <c r="E25" s="11" t="n">
        <f aca="false">SUMIF($D$5:$D$20,$B25,E$5:E$20)</f>
        <v>515</v>
      </c>
      <c r="F25" s="11" t="n">
        <f aca="false">SUMIF($D$5:$D$20,$B25,F$5:F$20)</f>
        <v>26.5</v>
      </c>
    </row>
    <row r="26" customFormat="false" ht="15" hidden="false" customHeight="false" outlineLevel="0" collapsed="false">
      <c r="B26" s="10" t="s">
        <v>12</v>
      </c>
      <c r="E26" s="11" t="n">
        <f aca="false">SUMIF($D$5:$D$20,$B26,E$5:E$20)</f>
        <v>470</v>
      </c>
      <c r="F26" s="11" t="n">
        <f aca="false">SUMIF($D$5:$D$20,$B26,F$5:F$20)</f>
        <v>24</v>
      </c>
    </row>
    <row r="27" customFormat="false" ht="15" hidden="false" customHeight="false" outlineLevel="0" collapsed="false">
      <c r="B27" s="10" t="s">
        <v>78</v>
      </c>
      <c r="E27" s="12" t="n">
        <f aca="false">SUM(E24:E26)</f>
        <v>1555</v>
      </c>
      <c r="F27" s="12" t="n">
        <f aca="false">SUM(F24:F26)</f>
        <v>80</v>
      </c>
    </row>
    <row r="29" customFormat="false" ht="15" hidden="false" customHeight="false" outlineLevel="0" collapsed="false">
      <c r="B29" s="13" t="s">
        <v>79</v>
      </c>
    </row>
  </sheetData>
  <autoFilter ref="A4:H20"/>
  <mergeCells count="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2"/>
    <col collapsed="false" customWidth="true" hidden="false" outlineLevel="0" max="3" min="3" style="0" width="11"/>
    <col collapsed="false" customWidth="true" hidden="false" outlineLevel="0" max="4" min="4" style="0" width="12"/>
    <col collapsed="false" customWidth="true" hidden="false" outlineLevel="0" max="5" min="5" style="0" width="58"/>
  </cols>
  <sheetData>
    <row r="1" customFormat="false" ht="17.35" hidden="false" customHeight="false" outlineLevel="0" collapsed="false">
      <c r="A1" s="1" t="s">
        <v>80</v>
      </c>
    </row>
    <row r="2" customFormat="false" ht="43.5" hidden="false" customHeight="true" outlineLevel="0" collapsed="false">
      <c r="A2" s="2" t="s">
        <v>81</v>
      </c>
      <c r="B2" s="2"/>
      <c r="C2" s="2"/>
      <c r="D2" s="2"/>
      <c r="E2" s="2"/>
    </row>
    <row r="4" customFormat="false" ht="31.5" hidden="false" customHeight="true" outlineLevel="0" collapsed="false">
      <c r="A4" s="3" t="s">
        <v>82</v>
      </c>
      <c r="B4" s="3" t="s">
        <v>83</v>
      </c>
      <c r="C4" s="3" t="s">
        <v>5</v>
      </c>
      <c r="D4" s="3" t="s">
        <v>7</v>
      </c>
      <c r="E4" s="3" t="s">
        <v>84</v>
      </c>
    </row>
    <row r="5" customFormat="false" ht="23.85" hidden="false" customHeight="false" outlineLevel="0" collapsed="false">
      <c r="A5" s="14" t="s">
        <v>85</v>
      </c>
      <c r="B5" s="6" t="s">
        <v>86</v>
      </c>
      <c r="C5" s="7" t="s">
        <v>12</v>
      </c>
      <c r="D5" s="7" t="n">
        <v>3</v>
      </c>
      <c r="E5" s="6" t="s">
        <v>87</v>
      </c>
    </row>
    <row r="6" customFormat="false" ht="15" hidden="false" customHeight="false" outlineLevel="0" collapsed="false">
      <c r="A6" s="14" t="s">
        <v>88</v>
      </c>
      <c r="B6" s="6" t="s">
        <v>89</v>
      </c>
      <c r="C6" s="7" t="s">
        <v>36</v>
      </c>
      <c r="D6" s="7" t="n">
        <v>2</v>
      </c>
      <c r="E6" s="6"/>
    </row>
    <row r="7" customFormat="false" ht="15" hidden="false" customHeight="false" outlineLevel="0" collapsed="false">
      <c r="A7" s="14" t="s">
        <v>90</v>
      </c>
      <c r="B7" s="6" t="s">
        <v>91</v>
      </c>
      <c r="C7" s="7" t="s">
        <v>36</v>
      </c>
      <c r="D7" s="7" t="n">
        <v>1.5</v>
      </c>
      <c r="E7" s="6" t="s">
        <v>92</v>
      </c>
    </row>
    <row r="8" customFormat="false" ht="15" hidden="false" customHeight="false" outlineLevel="0" collapsed="false">
      <c r="A8" s="14" t="s">
        <v>93</v>
      </c>
      <c r="B8" s="6" t="s">
        <v>94</v>
      </c>
      <c r="C8" s="7" t="s">
        <v>17</v>
      </c>
      <c r="D8" s="7" t="n">
        <v>1.5</v>
      </c>
      <c r="E8" s="6" t="s">
        <v>95</v>
      </c>
    </row>
    <row r="9" customFormat="false" ht="23.85" hidden="false" customHeight="false" outlineLevel="0" collapsed="false">
      <c r="A9" s="14" t="s">
        <v>93</v>
      </c>
      <c r="B9" s="6" t="s">
        <v>96</v>
      </c>
      <c r="C9" s="7" t="s">
        <v>12</v>
      </c>
      <c r="D9" s="7" t="n">
        <v>1</v>
      </c>
      <c r="E9" s="6"/>
    </row>
    <row r="10" customFormat="false" ht="15" hidden="false" customHeight="false" outlineLevel="0" collapsed="false">
      <c r="A10" s="14" t="s">
        <v>97</v>
      </c>
      <c r="B10" s="6" t="s">
        <v>98</v>
      </c>
      <c r="C10" s="7" t="s">
        <v>17</v>
      </c>
      <c r="D10" s="7" t="n">
        <v>2</v>
      </c>
      <c r="E10" s="6" t="s">
        <v>99</v>
      </c>
    </row>
    <row r="11" customFormat="false" ht="15" hidden="false" customHeight="false" outlineLevel="0" collapsed="false">
      <c r="A11" s="14" t="s">
        <v>97</v>
      </c>
      <c r="B11" s="6" t="s">
        <v>100</v>
      </c>
      <c r="C11" s="7" t="s">
        <v>36</v>
      </c>
      <c r="D11" s="7" t="n">
        <v>2</v>
      </c>
      <c r="E11" s="6" t="s">
        <v>99</v>
      </c>
    </row>
    <row r="12" customFormat="false" ht="15" hidden="false" customHeight="false" outlineLevel="0" collapsed="false">
      <c r="A12" s="14" t="s">
        <v>97</v>
      </c>
      <c r="B12" s="6" t="s">
        <v>101</v>
      </c>
      <c r="C12" s="7" t="s">
        <v>12</v>
      </c>
      <c r="D12" s="7" t="n">
        <v>2</v>
      </c>
      <c r="E12" s="6" t="s">
        <v>99</v>
      </c>
    </row>
    <row r="13" customFormat="false" ht="15" hidden="false" customHeight="false" outlineLevel="0" collapsed="false">
      <c r="A13" s="14" t="s">
        <v>97</v>
      </c>
      <c r="B13" s="6" t="s">
        <v>102</v>
      </c>
      <c r="C13" s="7" t="s">
        <v>36</v>
      </c>
      <c r="D13" s="7" t="n">
        <v>2</v>
      </c>
      <c r="E13" s="6"/>
    </row>
    <row r="14" customFormat="false" ht="15" hidden="false" customHeight="false" outlineLevel="0" collapsed="false">
      <c r="A14" s="14" t="s">
        <v>103</v>
      </c>
      <c r="B14" s="6" t="s">
        <v>104</v>
      </c>
      <c r="C14" s="7" t="s">
        <v>36</v>
      </c>
      <c r="D14" s="7" t="n">
        <v>1.5</v>
      </c>
      <c r="E14" s="6" t="s">
        <v>105</v>
      </c>
    </row>
    <row r="15" customFormat="false" ht="46.25" hidden="false" customHeight="false" outlineLevel="0" collapsed="false">
      <c r="A15" s="14" t="s">
        <v>106</v>
      </c>
      <c r="B15" s="6" t="s">
        <v>107</v>
      </c>
      <c r="C15" s="7" t="s">
        <v>12</v>
      </c>
      <c r="D15" s="7" t="n">
        <v>4</v>
      </c>
      <c r="E15" s="6" t="s">
        <v>108</v>
      </c>
    </row>
    <row r="17" customFormat="false" ht="15" hidden="false" customHeight="false" outlineLevel="0" collapsed="false">
      <c r="B17" s="8" t="s">
        <v>109</v>
      </c>
    </row>
    <row r="18" customFormat="false" ht="15" hidden="false" customHeight="false" outlineLevel="0" collapsed="false">
      <c r="B18" s="9" t="s">
        <v>5</v>
      </c>
      <c r="D18" s="9" t="s">
        <v>77</v>
      </c>
    </row>
    <row r="19" customFormat="false" ht="15" hidden="false" customHeight="false" outlineLevel="0" collapsed="false">
      <c r="B19" s="10" t="s">
        <v>17</v>
      </c>
      <c r="D19" s="11" t="n">
        <f aca="false">SUMIF($C$5:$C$15,$B19,D$5:D$15)</f>
        <v>3.5</v>
      </c>
    </row>
    <row r="20" customFormat="false" ht="15" hidden="false" customHeight="false" outlineLevel="0" collapsed="false">
      <c r="B20" s="10" t="s">
        <v>36</v>
      </c>
      <c r="D20" s="11" t="n">
        <f aca="false">SUMIF($C$5:$C$15,$B20,D$5:D$15)</f>
        <v>9</v>
      </c>
    </row>
    <row r="21" customFormat="false" ht="15" hidden="false" customHeight="false" outlineLevel="0" collapsed="false">
      <c r="B21" s="10" t="s">
        <v>12</v>
      </c>
      <c r="D21" s="11" t="n">
        <f aca="false">SUMIF($C$5:$C$15,$B21,D$5:D$15)</f>
        <v>10</v>
      </c>
    </row>
    <row r="22" customFormat="false" ht="15" hidden="false" customHeight="false" outlineLevel="0" collapsed="false">
      <c r="B22" s="10" t="s">
        <v>78</v>
      </c>
      <c r="D22" s="12" t="n">
        <f aca="false">SUM(D19:D21)</f>
        <v>22.5</v>
      </c>
    </row>
  </sheetData>
  <mergeCells count="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70"/>
    <col collapsed="false" customWidth="true" hidden="false" outlineLevel="0" max="4" min="4" style="0" width="46"/>
  </cols>
  <sheetData>
    <row r="1" customFormat="false" ht="17.35" hidden="false" customHeight="false" outlineLevel="0" collapsed="false">
      <c r="A1" s="1" t="s">
        <v>110</v>
      </c>
    </row>
    <row r="2" customFormat="false" ht="43.5" hidden="false" customHeight="true" outlineLevel="0" collapsed="false">
      <c r="A2" s="2" t="s">
        <v>111</v>
      </c>
      <c r="B2" s="2"/>
      <c r="C2" s="2"/>
      <c r="D2" s="2"/>
    </row>
    <row r="4" customFormat="false" ht="31.5" hidden="false" customHeight="true" outlineLevel="0" collapsed="false">
      <c r="A4" s="3" t="s">
        <v>112</v>
      </c>
      <c r="B4" s="3" t="s">
        <v>113</v>
      </c>
      <c r="C4" s="3" t="s">
        <v>114</v>
      </c>
      <c r="D4" s="3" t="s">
        <v>3</v>
      </c>
    </row>
    <row r="5" customFormat="false" ht="15" hidden="false" customHeight="false" outlineLevel="0" collapsed="false">
      <c r="A5" s="4" t="n">
        <v>1</v>
      </c>
      <c r="B5" s="5" t="s">
        <v>115</v>
      </c>
      <c r="C5" s="6" t="s">
        <v>116</v>
      </c>
      <c r="D5" s="6" t="s">
        <v>117</v>
      </c>
    </row>
    <row r="6" customFormat="false" ht="15" hidden="false" customHeight="false" outlineLevel="0" collapsed="false">
      <c r="A6" s="4" t="n">
        <v>2</v>
      </c>
      <c r="B6" s="5" t="s">
        <v>118</v>
      </c>
      <c r="C6" s="6" t="s">
        <v>119</v>
      </c>
      <c r="D6" s="6" t="s">
        <v>120</v>
      </c>
    </row>
    <row r="7" customFormat="false" ht="15" hidden="false" customHeight="false" outlineLevel="0" collapsed="false">
      <c r="A7" s="4" t="n">
        <v>3</v>
      </c>
      <c r="B7" s="5" t="s">
        <v>121</v>
      </c>
      <c r="C7" s="6" t="s">
        <v>122</v>
      </c>
      <c r="D7" s="6" t="s">
        <v>123</v>
      </c>
    </row>
    <row r="8" customFormat="false" ht="23.85" hidden="false" customHeight="false" outlineLevel="0" collapsed="false">
      <c r="A8" s="4" t="n">
        <v>4</v>
      </c>
      <c r="B8" s="5" t="s">
        <v>124</v>
      </c>
      <c r="C8" s="6" t="s">
        <v>125</v>
      </c>
      <c r="D8" s="6" t="s">
        <v>126</v>
      </c>
    </row>
    <row r="9" customFormat="false" ht="15" hidden="false" customHeight="false" outlineLevel="0" collapsed="false">
      <c r="A9" s="4" t="n">
        <v>5</v>
      </c>
      <c r="B9" s="5" t="s">
        <v>127</v>
      </c>
      <c r="C9" s="6" t="s">
        <v>128</v>
      </c>
      <c r="D9" s="6" t="s">
        <v>67</v>
      </c>
    </row>
    <row r="10" customFormat="false" ht="15" hidden="false" customHeight="false" outlineLevel="0" collapsed="false">
      <c r="A10" s="4" t="n">
        <v>6</v>
      </c>
      <c r="B10" s="5" t="s">
        <v>129</v>
      </c>
      <c r="C10" s="6" t="s">
        <v>130</v>
      </c>
      <c r="D10" s="6" t="s">
        <v>131</v>
      </c>
    </row>
    <row r="11" customFormat="false" ht="15" hidden="false" customHeight="false" outlineLevel="0" collapsed="false">
      <c r="A11" s="4" t="n">
        <v>7</v>
      </c>
      <c r="B11" s="5" t="s">
        <v>132</v>
      </c>
      <c r="C11" s="6" t="s">
        <v>133</v>
      </c>
      <c r="D11" s="6" t="s">
        <v>134</v>
      </c>
    </row>
  </sheetData>
  <mergeCells count="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2026-10-04T14:16:50Z</dcterms:created>
  <dc:creator>openpyxl</dc:creator>
  <dc:description/>
  <dc:language>en-US</dc:language>
  <cp:lastModifiedBy/>
  <dcterms:modified xsi:type="dcterms:W3CDTF">2026-10-04T14:16:50Z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